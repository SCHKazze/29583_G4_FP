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hir\Documents\Deberes U\1er Semestre\Fund.Programación\"/>
    </mc:Choice>
  </mc:AlternateContent>
  <xr:revisionPtr revIDLastSave="0" documentId="8_{52AB5EE2-FBE2-4453-AE51-79A33C9327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<sst xmlns="http://schemas.openxmlformats.org/spreadsheetml/2006/main" count="122" uniqueCount="82">
  <si>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</si>
  <si>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</si>
  <si>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</si>
  <si>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</si>
  <si>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</si>
  <si>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</si>
  <si>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</si>
  <si>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</si>
  <si>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</si>
  <si>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</si>
  <si>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</si>
  <si>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</si>
  <si>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</si>
  <si>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</si>
  <si>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</si>
  <si>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</si>
  <si>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</si>
  <si>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</si>
  <si>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</si>
  <si>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</si>
  <si>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</si>
  <si>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</si>
  <si>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</si>
  <si>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</si>
  <si>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</si>
  <si>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</si>
  <si>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</si>
  <si>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</si>
  <si>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</si>
  <si>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</si>
  <si>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</si>
  <si>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</si>
  <si>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</si>
  <si>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Apertura manual insegura del garaje</t>
  </si>
  <si>
    <t>HU-02</t>
  </si>
  <si>
    <t>HU-03</t>
  </si>
  <si>
    <t>HU-04</t>
  </si>
  <si>
    <t>HU-05</t>
  </si>
  <si>
    <t>HU-06</t>
  </si>
  <si>
    <t>HU-07</t>
  </si>
  <si>
    <t>Automatizar la apertura y cierre de la puerta</t>
  </si>
  <si>
    <t>Facilitar el acceso vehicular de forma segura y cómoda</t>
  </si>
  <si>
    <t>Diseñar el sistema eléctrico con Arduino, puente H y motor DC</t>
  </si>
  <si>
    <t>El motor abre y cierra la puerta al presionar un botón</t>
  </si>
  <si>
    <t>Primera versión del sistema</t>
  </si>
  <si>
    <t>Control de puerta</t>
  </si>
  <si>
    <t>El motor gira en ambos sentidos según la señal</t>
  </si>
  <si>
    <t>Uso correcto del puente H</t>
  </si>
  <si>
    <t>Control del motor</t>
  </si>
  <si>
    <t>Simulación funcional sin errores</t>
  </si>
  <si>
    <t>Simulación previa obligatoria</t>
  </si>
  <si>
    <t>Simulación electrónica</t>
  </si>
  <si>
    <t>2025-11-31</t>
  </si>
  <si>
    <t>Lógica de control</t>
  </si>
  <si>
    <t>El sistema responde correctamente en varias pruebas</t>
  </si>
  <si>
    <t>Pruebas de carga</t>
  </si>
  <si>
    <t>Prototípo físico</t>
  </si>
  <si>
    <t>Falta de control del motor</t>
  </si>
  <si>
    <t>Controlar el sentido de giro de motor</t>
  </si>
  <si>
    <t>Permitir apertura y cierra controlado</t>
  </si>
  <si>
    <t>Usuario</t>
  </si>
  <si>
    <t>Conectar y configurar el puente H (L298N/L293D)</t>
  </si>
  <si>
    <t>Riesgo de errores eléctronicos</t>
  </si>
  <si>
    <t>Validar conexciones antes del montaje físico</t>
  </si>
  <si>
    <t>Evitar daños en componentes</t>
  </si>
  <si>
    <t>Estudiante</t>
  </si>
  <si>
    <t>Simular el circuito completo en Proteus</t>
  </si>
  <si>
    <t>Falta lógica de control</t>
  </si>
  <si>
    <t>Falta de pruebas físicas</t>
  </si>
  <si>
    <t>Validar el sistema real</t>
  </si>
  <si>
    <t>Comprobar confiabildad del prototipo</t>
  </si>
  <si>
    <t>Cliente</t>
  </si>
  <si>
    <t xml:space="preserve">Montaje en protoboard y pruebas repetitvas </t>
  </si>
  <si>
    <t>GRUPO 4</t>
  </si>
  <si>
    <t>Programar apertura del sistema</t>
  </si>
  <si>
    <t>Programar el cierre del sistema</t>
  </si>
  <si>
    <t>Programar la seguridad del sistema</t>
  </si>
  <si>
    <t>Habilitar el funcionamiento del sistema</t>
  </si>
  <si>
    <t>El código ejecuta correctamente las funciones sin presentar errores</t>
  </si>
  <si>
    <t xml:space="preserve">Desarrollar el código en Arduino IDE/Codeblocks y ejecutarlo </t>
  </si>
  <si>
    <t xml:space="preserve">Sistema totalmente funcional </t>
  </si>
  <si>
    <t xml:space="preserve">Validacion de entradas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</si>
</sst>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6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0" borderId="17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1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164" fontId="13" fillId="0" borderId="4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11" fillId="9" borderId="3" xfId="0" applyFont="1" applyFill="1" applyBorder="1"/>
    <xf numFmtId="0" fontId="13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A10" zoomScale="130" zoomScaleNormal="130" workbookViewId="0">
      <selection activeCell="D6" sqref="D6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102" t="s">
        <v>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4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106" t="s">
        <v>1</v>
      </c>
      <c r="C5" s="106" t="s">
        <v>2</v>
      </c>
      <c r="D5" s="106" t="s">
        <v>3</v>
      </c>
      <c r="E5" s="106" t="s">
        <v>4</v>
      </c>
      <c r="F5" s="106" t="s">
        <v>5</v>
      </c>
      <c r="G5" s="106" t="s">
        <v>6</v>
      </c>
      <c r="H5" s="106" t="s">
        <v>7</v>
      </c>
      <c r="I5" s="106" t="s">
        <v>8</v>
      </c>
      <c r="J5" s="106" t="s">
        <v>9</v>
      </c>
      <c r="K5" s="106" t="s">
        <v>10</v>
      </c>
      <c r="L5" s="106" t="s">
        <v>11</v>
      </c>
      <c r="M5" s="106" t="s">
        <v>12</v>
      </c>
      <c r="N5" s="106" t="s">
        <v>13</v>
      </c>
      <c r="O5" s="106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75.75" customHeight="1" x14ac:dyDescent="0.3">
      <c r="B6" s="105" t="s">
        <v>32</v>
      </c>
      <c r="C6" s="27" t="s">
        <v>33</v>
      </c>
      <c r="D6" s="27" t="s">
        <v>40</v>
      </c>
      <c r="E6" s="27" t="s">
        <v>41</v>
      </c>
      <c r="F6" s="27" t="s">
        <v>60</v>
      </c>
      <c r="G6" s="27" t="s">
        <v>42</v>
      </c>
      <c r="H6" s="27" t="s">
        <v>73</v>
      </c>
      <c r="I6" s="27">
        <v>6</v>
      </c>
      <c r="J6" s="28">
        <v>45972</v>
      </c>
      <c r="K6" s="27" t="s">
        <v>15</v>
      </c>
      <c r="L6" s="27" t="s">
        <v>16</v>
      </c>
      <c r="M6" s="29" t="s">
        <v>43</v>
      </c>
      <c r="N6" s="27" t="s">
        <v>44</v>
      </c>
      <c r="O6" s="27" t="s">
        <v>45</v>
      </c>
    </row>
    <row r="7" spans="1:26" ht="75.75" customHeight="1" x14ac:dyDescent="0.3">
      <c r="B7" s="105" t="s">
        <v>34</v>
      </c>
      <c r="C7" s="27" t="s">
        <v>57</v>
      </c>
      <c r="D7" s="27" t="s">
        <v>58</v>
      </c>
      <c r="E7" s="27" t="s">
        <v>59</v>
      </c>
      <c r="F7" s="27" t="s">
        <v>60</v>
      </c>
      <c r="G7" s="27" t="s">
        <v>61</v>
      </c>
      <c r="H7" s="27" t="s">
        <v>73</v>
      </c>
      <c r="I7" s="27">
        <v>5</v>
      </c>
      <c r="J7" s="28">
        <v>45979</v>
      </c>
      <c r="K7" s="27" t="s">
        <v>15</v>
      </c>
      <c r="L7" s="27" t="s">
        <v>16</v>
      </c>
      <c r="M7" s="29" t="s">
        <v>46</v>
      </c>
      <c r="N7" s="27" t="s">
        <v>47</v>
      </c>
      <c r="O7" s="27" t="s">
        <v>48</v>
      </c>
    </row>
    <row r="8" spans="1:26" ht="75.75" customHeight="1" x14ac:dyDescent="0.3">
      <c r="B8" s="105" t="s">
        <v>35</v>
      </c>
      <c r="C8" s="27" t="s">
        <v>62</v>
      </c>
      <c r="D8" s="30" t="s">
        <v>63</v>
      </c>
      <c r="E8" s="27" t="s">
        <v>64</v>
      </c>
      <c r="F8" s="27" t="s">
        <v>65</v>
      </c>
      <c r="G8" s="31" t="s">
        <v>66</v>
      </c>
      <c r="H8" s="27" t="s">
        <v>73</v>
      </c>
      <c r="I8" s="27">
        <v>4</v>
      </c>
      <c r="J8" s="28">
        <v>45986</v>
      </c>
      <c r="K8" s="27" t="s">
        <v>15</v>
      </c>
      <c r="L8" s="27" t="s">
        <v>16</v>
      </c>
      <c r="M8" s="27" t="s">
        <v>49</v>
      </c>
      <c r="N8" s="27" t="s">
        <v>50</v>
      </c>
      <c r="O8" s="27" t="s">
        <v>51</v>
      </c>
    </row>
    <row r="9" spans="1:26" ht="75.75" customHeight="1" x14ac:dyDescent="0.3">
      <c r="B9" s="105" t="s">
        <v>36</v>
      </c>
      <c r="C9" s="100" t="s">
        <v>67</v>
      </c>
      <c r="D9" s="99" t="s">
        <v>74</v>
      </c>
      <c r="E9" s="100" t="s">
        <v>77</v>
      </c>
      <c r="F9" s="100" t="s">
        <v>71</v>
      </c>
      <c r="G9" s="99" t="s">
        <v>79</v>
      </c>
      <c r="H9" s="100" t="s">
        <v>73</v>
      </c>
      <c r="I9" s="100">
        <v>4</v>
      </c>
      <c r="J9" s="101" t="s">
        <v>52</v>
      </c>
      <c r="K9" s="100" t="s">
        <v>15</v>
      </c>
      <c r="L9" s="100" t="s">
        <v>21</v>
      </c>
      <c r="M9" s="100" t="s">
        <v>78</v>
      </c>
      <c r="N9" s="100" t="s">
        <v>80</v>
      </c>
      <c r="O9" s="100" t="s">
        <v>53</v>
      </c>
    </row>
    <row r="10" spans="1:26" ht="64.5" customHeight="1" x14ac:dyDescent="0.3">
      <c r="B10" s="105" t="s">
        <v>37</v>
      </c>
      <c r="C10" s="100" t="s">
        <v>67</v>
      </c>
      <c r="D10" s="100" t="s">
        <v>75</v>
      </c>
      <c r="E10" s="100" t="s">
        <v>77</v>
      </c>
      <c r="F10" s="100" t="s">
        <v>71</v>
      </c>
      <c r="G10" s="99" t="s">
        <v>79</v>
      </c>
      <c r="H10" s="100" t="s">
        <v>73</v>
      </c>
      <c r="I10" s="100">
        <v>4</v>
      </c>
      <c r="J10" s="101">
        <v>45998</v>
      </c>
      <c r="K10" s="100" t="s">
        <v>19</v>
      </c>
      <c r="L10" s="100" t="s">
        <v>21</v>
      </c>
      <c r="M10" s="100" t="s">
        <v>78</v>
      </c>
      <c r="N10" s="100" t="s">
        <v>80</v>
      </c>
      <c r="O10" s="100" t="s">
        <v>53</v>
      </c>
    </row>
    <row r="11" spans="1:26" ht="61.5" customHeight="1" x14ac:dyDescent="0.3">
      <c r="B11" s="105" t="s">
        <v>38</v>
      </c>
      <c r="C11" s="100" t="s">
        <v>67</v>
      </c>
      <c r="D11" s="99" t="s">
        <v>76</v>
      </c>
      <c r="E11" s="100" t="s">
        <v>77</v>
      </c>
      <c r="F11" s="100" t="s">
        <v>71</v>
      </c>
      <c r="G11" s="99" t="s">
        <v>79</v>
      </c>
      <c r="H11" s="100" t="s">
        <v>73</v>
      </c>
      <c r="I11" s="100">
        <v>3</v>
      </c>
      <c r="J11" s="101">
        <v>46002</v>
      </c>
      <c r="K11" s="100" t="s">
        <v>19</v>
      </c>
      <c r="L11" s="100" t="s">
        <v>21</v>
      </c>
      <c r="M11" s="100" t="s">
        <v>81</v>
      </c>
      <c r="N11" s="100" t="s">
        <v>80</v>
      </c>
      <c r="O11" s="100" t="s">
        <v>53</v>
      </c>
    </row>
    <row r="12" spans="1:26" ht="70.5" customHeight="1" x14ac:dyDescent="0.3">
      <c r="B12" s="105" t="s">
        <v>39</v>
      </c>
      <c r="C12" s="27" t="s">
        <v>68</v>
      </c>
      <c r="D12" s="31" t="s">
        <v>69</v>
      </c>
      <c r="E12" s="27" t="s">
        <v>70</v>
      </c>
      <c r="F12" s="27" t="s">
        <v>71</v>
      </c>
      <c r="G12" s="31" t="s">
        <v>72</v>
      </c>
      <c r="H12" s="27" t="s">
        <v>73</v>
      </c>
      <c r="I12" s="27">
        <v>5</v>
      </c>
      <c r="J12" s="28">
        <v>46003</v>
      </c>
      <c r="K12" s="27" t="s">
        <v>19</v>
      </c>
      <c r="L12" s="27" t="s">
        <v>16</v>
      </c>
      <c r="M12" s="27" t="s">
        <v>54</v>
      </c>
      <c r="N12" s="27" t="s">
        <v>55</v>
      </c>
      <c r="O12" s="27" t="s">
        <v>56</v>
      </c>
    </row>
    <row r="13" spans="1:26" ht="61.5" customHeight="1" x14ac:dyDescent="0.3">
      <c r="K13" s="26"/>
      <c r="L13" s="26"/>
    </row>
    <row r="14" spans="1:26" ht="58.5" customHeight="1" x14ac:dyDescent="0.3">
      <c r="K14" s="26"/>
      <c r="L14" s="26"/>
    </row>
    <row r="15" spans="1:26" ht="39.75" customHeight="1" x14ac:dyDescent="0.3">
      <c r="K15" s="26"/>
      <c r="L15" s="26"/>
    </row>
    <row r="16" spans="1:26" ht="39.75" customHeight="1" x14ac:dyDescent="0.3">
      <c r="B16" s="32"/>
      <c r="C16" s="33"/>
      <c r="D16" s="33"/>
      <c r="F16" s="33"/>
      <c r="G16" s="33"/>
      <c r="H16" s="33"/>
      <c r="I16" s="34"/>
      <c r="J16" s="35"/>
      <c r="K16" s="34"/>
      <c r="L16" s="34"/>
      <c r="M16" s="33"/>
      <c r="N16" s="33"/>
      <c r="O16" s="33"/>
    </row>
    <row r="17" spans="2:15" ht="39.75" customHeight="1" x14ac:dyDescent="0.3">
      <c r="B17" s="32"/>
      <c r="C17" s="33"/>
      <c r="D17" s="33"/>
      <c r="E17" s="33"/>
      <c r="F17" s="33"/>
      <c r="G17" s="33"/>
      <c r="H17" s="33"/>
      <c r="I17" s="34"/>
      <c r="J17" s="35"/>
      <c r="K17" s="34"/>
      <c r="L17" s="34"/>
      <c r="M17" s="33"/>
      <c r="N17" s="36"/>
      <c r="O17" s="33"/>
    </row>
    <row r="18" spans="2:15" ht="39.75" customHeight="1" x14ac:dyDescent="0.3">
      <c r="B18" s="32"/>
      <c r="C18" s="33"/>
      <c r="D18" s="33"/>
      <c r="F18" s="33"/>
      <c r="G18" s="33"/>
      <c r="H18" s="33"/>
      <c r="I18" s="34"/>
      <c r="J18" s="35"/>
      <c r="K18" s="34"/>
      <c r="L18" s="34"/>
      <c r="M18" s="33"/>
      <c r="N18" s="33"/>
      <c r="O18" s="33"/>
    </row>
    <row r="19" spans="2:15" ht="39.75" customHeight="1" x14ac:dyDescent="0.3">
      <c r="B19" s="32"/>
      <c r="C19" s="33"/>
      <c r="D19" s="33"/>
      <c r="E19" s="33"/>
      <c r="F19" s="33"/>
      <c r="G19" s="33"/>
      <c r="H19" s="33"/>
      <c r="I19" s="34"/>
      <c r="J19" s="35"/>
      <c r="K19" s="34"/>
      <c r="L19" s="34"/>
      <c r="M19" s="36"/>
      <c r="N19" s="33"/>
      <c r="O19" s="33"/>
    </row>
    <row r="20" spans="2:15" ht="39.75" customHeight="1" x14ac:dyDescent="0.3">
      <c r="B20" s="32"/>
      <c r="C20" s="33"/>
      <c r="D20" s="33"/>
      <c r="E20" s="33"/>
      <c r="F20" s="33"/>
      <c r="G20" s="33"/>
      <c r="H20" s="33"/>
      <c r="I20" s="34"/>
      <c r="J20" s="35"/>
      <c r="K20" s="34"/>
      <c r="L20" s="34"/>
      <c r="M20" s="33" t="s">
        <v>18</v>
      </c>
      <c r="N20" s="33"/>
      <c r="O20" s="36"/>
    </row>
    <row r="21" spans="2:15" ht="19.5" customHeight="1" x14ac:dyDescent="0.3">
      <c r="B21" s="26"/>
      <c r="C21" s="26"/>
      <c r="D21" s="26"/>
      <c r="E21" s="26"/>
      <c r="F21" s="26"/>
      <c r="G21" s="26"/>
      <c r="H21" s="26"/>
      <c r="I21" s="24"/>
      <c r="J21" s="24"/>
      <c r="K21" s="25"/>
      <c r="L21" s="24"/>
      <c r="M21" s="26"/>
      <c r="N21" s="26"/>
    </row>
    <row r="22" spans="2:15" ht="19.5" customHeight="1" x14ac:dyDescent="0.3">
      <c r="I22" s="24"/>
      <c r="J22" s="24"/>
      <c r="K22" s="25"/>
      <c r="L22" s="24"/>
    </row>
    <row r="23" spans="2:15" ht="19.5" customHeight="1" x14ac:dyDescent="0.3">
      <c r="H23" s="36"/>
      <c r="I23" s="24"/>
      <c r="J23" s="24"/>
      <c r="K23" s="25"/>
      <c r="L23" s="24"/>
    </row>
    <row r="24" spans="2:15" ht="19.5" customHeight="1" x14ac:dyDescent="0.3">
      <c r="I24" s="24"/>
      <c r="J24" s="24"/>
      <c r="K24" s="25"/>
      <c r="L24" s="24"/>
    </row>
    <row r="25" spans="2:15" ht="19.5" customHeight="1" x14ac:dyDescent="0.3">
      <c r="I25" s="24"/>
      <c r="J25" s="24"/>
      <c r="K25" s="37"/>
      <c r="L25" s="24"/>
    </row>
    <row r="26" spans="2:15" ht="19.5" customHeight="1" x14ac:dyDescent="0.3">
      <c r="I26" s="24"/>
      <c r="J26" s="24"/>
      <c r="K26" s="37"/>
      <c r="L26" s="24"/>
    </row>
    <row r="27" spans="2:15" ht="19.5" customHeight="1" x14ac:dyDescent="0.3">
      <c r="I27" s="24"/>
      <c r="J27" s="24"/>
      <c r="K27" s="25"/>
      <c r="L27" s="24"/>
    </row>
    <row r="28" spans="2:15" ht="19.5" customHeight="1" x14ac:dyDescent="0.3">
      <c r="I28" s="24"/>
    </row>
    <row r="29" spans="2:15" ht="19.5" customHeight="1" x14ac:dyDescent="0.3">
      <c r="I29" s="24"/>
    </row>
    <row r="30" spans="2:15" ht="19.5" customHeight="1" x14ac:dyDescent="0.3">
      <c r="I30" s="24"/>
      <c r="K30" s="25" t="s">
        <v>15</v>
      </c>
      <c r="L30" s="25" t="s">
        <v>17</v>
      </c>
    </row>
    <row r="31" spans="2:15" ht="19.5" customHeight="1" x14ac:dyDescent="0.3">
      <c r="I31" s="24"/>
      <c r="K31" s="25" t="s">
        <v>19</v>
      </c>
      <c r="L31" s="25" t="s">
        <v>16</v>
      </c>
    </row>
    <row r="32" spans="2:15" ht="19.5" customHeight="1" x14ac:dyDescent="0.3">
      <c r="I32" s="24"/>
      <c r="K32" s="25" t="s">
        <v>20</v>
      </c>
      <c r="L32" s="25" t="s">
        <v>21</v>
      </c>
    </row>
    <row r="33" spans="9:12" ht="19.5" customHeight="1" x14ac:dyDescent="0.3">
      <c r="I33" s="24"/>
      <c r="K33" s="25"/>
      <c r="L33" s="25" t="s">
        <v>22</v>
      </c>
    </row>
    <row r="34" spans="9:12" ht="19.5" customHeight="1" x14ac:dyDescent="0.3">
      <c r="I34" s="24"/>
    </row>
    <row r="35" spans="9:12" ht="19.5" customHeight="1" x14ac:dyDescent="0.3">
      <c r="I35" s="24"/>
    </row>
    <row r="36" spans="9:12" ht="15.7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  <c r="J38" s="24"/>
      <c r="K38" s="25"/>
      <c r="L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</sheetData>
  <mergeCells count="1">
    <mergeCell ref="B3:O3"/>
  </mergeCells>
  <phoneticPr fontId="16" type="noConversion"/>
  <conditionalFormatting sqref="L6:L11">
    <cfRule type="colorScale" priority="4">
      <colorScale>
        <cfvo type="min"/>
        <cfvo type="max"/>
        <color rgb="FF57BB8A"/>
        <color rgb="FFFFFFFF"/>
      </colorScale>
    </cfRule>
  </conditionalFormatting>
  <conditionalFormatting sqref="L12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3:L20" xr:uid="{00000000-0002-0000-0000-000001000000}">
      <formula1>#REF!</formula1>
    </dataValidation>
    <dataValidation type="list" allowBlank="1" showErrorMessage="1" sqref="L6:L12" xr:uid="{00000000-0002-0000-0000-000000000000}">
      <formula1>$L$30:$L$33</formula1>
    </dataValidation>
    <dataValidation type="list" allowBlank="1" showErrorMessage="1" sqref="K6:K12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opLeftCell="A9" zoomScale="145" zoomScaleNormal="145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8" t="s">
        <v>23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58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57" t="s">
        <v>24</v>
      </c>
      <c r="F9" s="58"/>
      <c r="G9" s="12"/>
      <c r="H9" s="57" t="s">
        <v>11</v>
      </c>
      <c r="I9" s="58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39</v>
      </c>
      <c r="D10" s="16"/>
      <c r="E10" s="80" t="str">
        <f>VLOOKUP(C10,'Formato descripción HU'!B6:O20,5,0)</f>
        <v>Cliente</v>
      </c>
      <c r="F10" s="81"/>
      <c r="G10" s="17"/>
      <c r="H10" s="59" t="str">
        <f>VLOOKUP(C10,'Formato descripción HU'!B6:O20,11,0)</f>
        <v>En proceso</v>
      </c>
      <c r="I10" s="58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25</v>
      </c>
      <c r="D12" s="16"/>
      <c r="E12" s="57" t="s">
        <v>10</v>
      </c>
      <c r="F12" s="58"/>
      <c r="G12" s="17"/>
      <c r="H12" s="57" t="s">
        <v>26</v>
      </c>
      <c r="I12" s="58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HU'!B6:O20,8,0)</f>
        <v>5</v>
      </c>
      <c r="D13" s="16"/>
      <c r="E13" s="59" t="str">
        <f>VLOOKUP(C10,'Formato descripción HU'!B6:O20,10,0)</f>
        <v xml:space="preserve">Media </v>
      </c>
      <c r="F13" s="58"/>
      <c r="G13" s="17"/>
      <c r="H13" s="59" t="str">
        <f>VLOOKUP(C10,'Formato descripción HU'!B6:O20,7,0)</f>
        <v>GRUPO 4</v>
      </c>
      <c r="I13" s="58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39" t="s">
        <v>27</v>
      </c>
      <c r="D15" s="82" t="str">
        <f>VLOOKUP(C10,'Formato descripción HU'!B6:O20,3,0)</f>
        <v>Validar el sistema real</v>
      </c>
      <c r="E15" s="91"/>
      <c r="F15" s="38"/>
      <c r="G15" s="39" t="s">
        <v>28</v>
      </c>
      <c r="H15" s="82" t="str">
        <f>VLOOKUP(C10,'Formato descripción HU'!B6:O20,4,0)</f>
        <v>Comprobar confiabildad del prototipo</v>
      </c>
      <c r="I15" s="96"/>
      <c r="J15" s="91"/>
      <c r="K15" s="38"/>
      <c r="L15" s="39" t="s">
        <v>29</v>
      </c>
      <c r="M15" s="42" t="str">
        <f>VLOOKUP(C10,'Formato descripción HU'!B6:O20,6,0)</f>
        <v xml:space="preserve">Montaje en protoboard y pruebas repetitvas </v>
      </c>
      <c r="N15" s="43"/>
      <c r="O15" s="44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0"/>
      <c r="D16" s="92"/>
      <c r="E16" s="93"/>
      <c r="F16" s="38"/>
      <c r="G16" s="40"/>
      <c r="H16" s="92"/>
      <c r="I16" s="97"/>
      <c r="J16" s="93"/>
      <c r="K16" s="38"/>
      <c r="L16" s="40"/>
      <c r="M16" s="45"/>
      <c r="N16" s="46"/>
      <c r="O16" s="47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1"/>
      <c r="D17" s="94"/>
      <c r="E17" s="95"/>
      <c r="F17" s="38"/>
      <c r="G17" s="41"/>
      <c r="H17" s="94"/>
      <c r="I17" s="98"/>
      <c r="J17" s="95"/>
      <c r="K17" s="38"/>
      <c r="L17" s="41"/>
      <c r="M17" s="48"/>
      <c r="N17" s="49"/>
      <c r="O17" s="50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2" t="s">
        <v>30</v>
      </c>
      <c r="D19" s="63"/>
      <c r="E19" s="51" t="str">
        <f>VLOOKUP(C10,'Formato descripción HU'!B6:O20,14,0)</f>
        <v>Prototípo físico</v>
      </c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14"/>
      <c r="Q19" s="1"/>
    </row>
    <row r="20" spans="1:26" ht="19.5" customHeight="1" x14ac:dyDescent="0.2">
      <c r="B20" s="10"/>
      <c r="C20" s="64"/>
      <c r="D20" s="65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66" t="s">
        <v>31</v>
      </c>
      <c r="D22" s="63"/>
      <c r="E22" s="69" t="str">
        <f>VLOOKUP(C10,'Formato descripción HU'!B6:O20,12,0)</f>
        <v>El sistema responde correctamente en varias pruebas</v>
      </c>
      <c r="F22" s="70"/>
      <c r="G22" s="70"/>
      <c r="H22" s="71"/>
      <c r="I22" s="13"/>
      <c r="J22" s="66" t="s">
        <v>13</v>
      </c>
      <c r="K22" s="63"/>
      <c r="L22" s="82" t="str">
        <f>VLOOKUP(C10,'Formato descripción HU'!B6:O20,13,0)</f>
        <v>Pruebas de carga</v>
      </c>
      <c r="M22" s="83"/>
      <c r="N22" s="83"/>
      <c r="O22" s="84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67"/>
      <c r="D23" s="68"/>
      <c r="E23" s="72"/>
      <c r="F23" s="73"/>
      <c r="G23" s="73"/>
      <c r="H23" s="74"/>
      <c r="I23" s="13"/>
      <c r="J23" s="67"/>
      <c r="K23" s="68"/>
      <c r="L23" s="85"/>
      <c r="M23" s="86"/>
      <c r="N23" s="86"/>
      <c r="O23" s="87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64"/>
      <c r="D24" s="65"/>
      <c r="E24" s="75"/>
      <c r="F24" s="76"/>
      <c r="G24" s="76"/>
      <c r="H24" s="77"/>
      <c r="I24" s="13"/>
      <c r="J24" s="64"/>
      <c r="K24" s="65"/>
      <c r="L24" s="88"/>
      <c r="M24" s="89"/>
      <c r="N24" s="89"/>
      <c r="O24" s="90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Jahir Alexander Criollo Solano</cp:lastModifiedBy>
  <dcterms:created xsi:type="dcterms:W3CDTF">2019-10-21T15:37:14Z</dcterms:created>
  <dcterms:modified xsi:type="dcterms:W3CDTF">2025-12-17T02:03:11Z</dcterms:modified>
</cp:coreProperties>
</file>